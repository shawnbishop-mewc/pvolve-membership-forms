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  <sheet name="Dashboard" sheetId="2" state="visible" r:id="rId2"/>
    <sheet name="Legend" sheetId="3" state="visible" r:id="rId3"/>
  </sheets>
  <definedNames>
    <definedName name="_xlnm._FilterDatabase" localSheetId="0" hidden="1">'Submissions'!$A$1:$S$1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BF9F5"/>
      <sz val="11"/>
    </font>
    <font>
      <sz val="10"/>
    </font>
    <font>
      <b val="1"/>
      <color rgb="FF1C1B19"/>
      <sz val="16"/>
    </font>
    <font>
      <i val="1"/>
      <color rgb="FF5C574F"/>
      <sz val="10"/>
    </font>
    <font>
      <b val="1"/>
      <color rgb="FFFBF9F5"/>
      <sz val="11"/>
    </font>
    <font>
      <color rgb="FF1C1B19"/>
      <sz val="11"/>
    </font>
    <font>
      <b val="1"/>
      <color rgb="FF1C1B19"/>
      <sz val="12"/>
    </font>
    <font>
      <color rgb="FF1C1B19"/>
      <sz val="12"/>
    </font>
    <font>
      <i val="1"/>
      <color rgb="FF5C574F"/>
      <sz val="9"/>
    </font>
    <font>
      <b val="1"/>
      <sz val="15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FF1C1B19"/>
      </patternFill>
    </fill>
    <fill>
      <patternFill patternType="solid">
        <fgColor rgb="FFB15C3E"/>
      </patternFill>
    </fill>
  </fills>
  <borders count="2">
    <border>
      <left/>
      <right/>
      <top/>
      <bottom/>
      <diagonal/>
    </border>
    <border>
      <bottom style="thin">
        <color rgb="FFDAD2C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9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color rgb="FF3C5A2E"/>
      </font>
      <fill>
        <patternFill patternType="solid">
          <fgColor rgb="FFDCE6D0"/>
        </patternFill>
      </fill>
    </dxf>
    <dxf>
      <fill>
        <patternFill patternType="solid">
          <fgColor rgb="FFEDE7DB"/>
        </patternFill>
      </fill>
    </dxf>
    <dxf>
      <font>
        <color rgb="FF8A3A22"/>
      </font>
      <fill>
        <patternFill patternType="solid">
          <fgColor rgb="FFF1D6CD"/>
        </patternFill>
      </fill>
    </dxf>
    <dxf>
      <font>
        <b val="1"/>
        <color rgb="FF8A3A22"/>
      </font>
      <fill>
        <patternFill patternType="solid">
          <fgColor rgb="FFF1D6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7" customWidth="1" min="5" max="5"/>
    <col width="26" customWidth="1" min="6" max="6"/>
    <col width="15" customWidth="1" min="7" max="7"/>
    <col width="13" customWidth="1" min="8" max="8"/>
    <col width="13" customWidth="1" min="9" max="9"/>
    <col width="34" customWidth="1" min="10" max="10"/>
    <col width="13" customWidth="1" min="11" max="11"/>
    <col width="13" customWidth="1" min="12" max="12"/>
    <col width="12" customWidth="1" min="13" max="13"/>
    <col width="12" customWidth="1" min="14" max="14"/>
    <col width="13" customWidth="1" min="15" max="15"/>
    <col width="12" customWidth="1" min="16" max="16"/>
    <col width="42" customWidth="1" min="17" max="17"/>
    <col width="16" customWidth="1" min="18" max="18"/>
    <col width="12" customWidth="1" min="19" max="19"/>
  </cols>
  <sheetData>
    <row r="1" ht="34" customHeight="1">
      <c r="A1" s="1" t="inlineStr">
        <is>
          <t>Submitted</t>
        </is>
      </c>
      <c r="B1" s="1" t="inlineStr">
        <is>
          <t>Request Type</t>
        </is>
      </c>
      <c r="C1" s="1" t="inlineStr">
        <is>
          <t>Converted From Cancel?</t>
        </is>
      </c>
      <c r="D1" s="1" t="inlineStr">
        <is>
          <t>Location</t>
        </is>
      </c>
      <c r="E1" s="1" t="inlineStr">
        <is>
          <t>Member 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Freeze Start</t>
        </is>
      </c>
      <c r="I1" s="1" t="inlineStr">
        <is>
          <t>Freeze Duration</t>
        </is>
      </c>
      <c r="J1" s="1" t="inlineStr">
        <is>
          <t>Reasons (all checked)</t>
        </is>
      </c>
      <c r="K1" s="1" t="inlineStr">
        <is>
          <t>Rating: Quality of Workout</t>
        </is>
      </c>
      <c r="L1" s="1" t="inlineStr">
        <is>
          <t>Rating: Front Desk Service</t>
        </is>
      </c>
      <c r="M1" s="1" t="inlineStr">
        <is>
          <t>Rating: Class Times</t>
        </is>
      </c>
      <c r="N1" s="1" t="inlineStr">
        <is>
          <t>Rating: Cleanliness</t>
        </is>
      </c>
      <c r="O1" s="1" t="inlineStr">
        <is>
          <t>Rating: Overall Experience</t>
        </is>
      </c>
      <c r="P1" s="1" t="inlineStr">
        <is>
          <t>Return Likelihood (1-10)</t>
        </is>
      </c>
      <c r="Q1" s="1" t="inlineStr">
        <is>
          <t>Comments</t>
        </is>
      </c>
      <c r="R1" s="1" t="inlineStr">
        <is>
          <t>Signature</t>
        </is>
      </c>
      <c r="S1" s="1" t="inlineStr">
        <is>
          <t>Acknowledged</t>
        </is>
      </c>
    </row>
    <row r="2">
      <c r="A2" s="2" t="inlineStr">
        <is>
          <t>2026-07-03 14:22</t>
        </is>
      </c>
      <c r="B2" s="2" t="inlineStr">
        <is>
          <t>Freeze</t>
        </is>
      </c>
      <c r="C2" s="2" t="inlineStr">
        <is>
          <t>No</t>
        </is>
      </c>
      <c r="D2" s="2" t="inlineStr">
        <is>
          <t>Post Oak</t>
        </is>
      </c>
      <c r="E2" s="2" t="inlineStr">
        <is>
          <t>Jenna Lowe</t>
        </is>
      </c>
      <c r="F2" s="2" t="inlineStr">
        <is>
          <t>jenna.lowe@email.com</t>
        </is>
      </c>
      <c r="G2" s="2" t="inlineStr">
        <is>
          <t>(713) 555-0142</t>
        </is>
      </c>
      <c r="H2" s="2" t="inlineStr">
        <is>
          <t>2026-07-20</t>
        </is>
      </c>
      <c r="I2" s="2" t="inlineStr">
        <is>
          <t>30 days</t>
        </is>
      </c>
      <c r="J2" s="2" t="inlineStr">
        <is>
          <t>Travel; No Time to Attend</t>
        </is>
      </c>
      <c r="K2" s="2" t="inlineStr">
        <is>
          <t>Great</t>
        </is>
      </c>
      <c r="L2" s="2" t="inlineStr">
        <is>
          <t>Great</t>
        </is>
      </c>
      <c r="M2" s="2" t="inlineStr">
        <is>
          <t>Good</t>
        </is>
      </c>
      <c r="N2" s="2" t="inlineStr">
        <is>
          <t>Great</t>
        </is>
      </c>
      <c r="O2" s="2" t="inlineStr">
        <is>
          <t>Great</t>
        </is>
      </c>
      <c r="P2" s="2" t="n">
        <v>9</v>
      </c>
      <c r="Q2" s="2" t="inlineStr">
        <is>
          <t>Just traveling for work through the summer — back in August!</t>
        </is>
      </c>
      <c r="R2" s="2" t="inlineStr">
        <is>
          <t>Jenna Lowe</t>
        </is>
      </c>
      <c r="S2" s="2" t="inlineStr">
        <is>
          <t>Yes</t>
        </is>
      </c>
    </row>
    <row r="3">
      <c r="A3" s="2" t="inlineStr">
        <is>
          <t>2026-07-03 14:41</t>
        </is>
      </c>
      <c r="B3" s="2" t="inlineStr">
        <is>
          <t>Cancellation</t>
        </is>
      </c>
      <c r="C3" s="2" t="inlineStr">
        <is>
          <t>No</t>
        </is>
      </c>
      <c r="D3" s="2" t="inlineStr">
        <is>
          <t>Memorial</t>
        </is>
      </c>
      <c r="E3" s="2" t="inlineStr">
        <is>
          <t>Sarah Mitchell</t>
        </is>
      </c>
      <c r="F3" s="2" t="inlineStr">
        <is>
          <t>sarah.mitchell@email.com</t>
        </is>
      </c>
      <c r="G3" s="2" t="inlineStr">
        <is>
          <t>(713) 555-1234</t>
        </is>
      </c>
      <c r="H3" s="2" t="inlineStr"/>
      <c r="I3" s="2" t="inlineStr"/>
      <c r="J3" s="2" t="inlineStr">
        <is>
          <t>No Time to Attend; Financial; Convenient Classes Unavailable</t>
        </is>
      </c>
      <c r="K3" s="2" t="inlineStr">
        <is>
          <t>Great</t>
        </is>
      </c>
      <c r="L3" s="2" t="inlineStr">
        <is>
          <t>Good</t>
        </is>
      </c>
      <c r="M3" s="2" t="inlineStr">
        <is>
          <t>Poor</t>
        </is>
      </c>
      <c r="N3" s="2" t="inlineStr">
        <is>
          <t>Fair</t>
        </is>
      </c>
      <c r="O3" s="2" t="inlineStr">
        <is>
          <t>Fair</t>
        </is>
      </c>
      <c r="P3" s="2" t="n">
        <v>7</v>
      </c>
      <c r="Q3" s="2" t="inlineStr">
        <is>
          <t>Love the workouts but the only slots that fit me are always full. More evening classes and I'd stay.</t>
        </is>
      </c>
      <c r="R3" s="2" t="inlineStr">
        <is>
          <t>Sarah Mitchell</t>
        </is>
      </c>
      <c r="S3" s="2" t="inlineStr">
        <is>
          <t>Yes</t>
        </is>
      </c>
    </row>
    <row r="4">
      <c r="A4" s="2" t="inlineStr">
        <is>
          <t>2026-07-03 15:08</t>
        </is>
      </c>
      <c r="B4" s="2" t="inlineStr">
        <is>
          <t>Freeze</t>
        </is>
      </c>
      <c r="C4" s="2" t="inlineStr">
        <is>
          <t>Yes</t>
        </is>
      </c>
      <c r="D4" s="2" t="inlineStr">
        <is>
          <t>Post Oak</t>
        </is>
      </c>
      <c r="E4" s="2" t="inlineStr">
        <is>
          <t>Maria Gomez</t>
        </is>
      </c>
      <c r="F4" s="2" t="inlineStr">
        <is>
          <t>maria.gomez@email.com</t>
        </is>
      </c>
      <c r="G4" s="2" t="inlineStr">
        <is>
          <t>(713) 555-0199</t>
        </is>
      </c>
      <c r="H4" s="2" t="inlineStr">
        <is>
          <t>2026-08-01</t>
        </is>
      </c>
      <c r="I4" s="2" t="inlineStr">
        <is>
          <t>60 days</t>
        </is>
      </c>
      <c r="J4" s="2" t="inlineStr">
        <is>
          <t>Financial</t>
        </is>
      </c>
      <c r="K4" s="2" t="inlineStr">
        <is>
          <t>Good</t>
        </is>
      </c>
      <c r="L4" s="2" t="inlineStr">
        <is>
          <t>Good</t>
        </is>
      </c>
      <c r="M4" s="2" t="inlineStr">
        <is>
          <t>Good</t>
        </is>
      </c>
      <c r="N4" s="2" t="inlineStr">
        <is>
          <t>Good</t>
        </is>
      </c>
      <c r="O4" s="2" t="inlineStr">
        <is>
          <t>Good</t>
        </is>
      </c>
      <c r="P4" s="2" t="n">
        <v>6</v>
      </c>
      <c r="Q4" s="2" t="inlineStr">
        <is>
          <t>Money is tight right now but I really don't want to lose my rate.</t>
        </is>
      </c>
      <c r="R4" s="2" t="inlineStr">
        <is>
          <t>Maria Gomez</t>
        </is>
      </c>
      <c r="S4" s="2" t="inlineStr">
        <is>
          <t>Yes</t>
        </is>
      </c>
    </row>
    <row r="5">
      <c r="A5" s="2" t="inlineStr">
        <is>
          <t>2026-07-02 09:15</t>
        </is>
      </c>
      <c r="B5" s="2" t="inlineStr">
        <is>
          <t>Cancellation</t>
        </is>
      </c>
      <c r="C5" s="2" t="inlineStr">
        <is>
          <t>No</t>
        </is>
      </c>
      <c r="D5" s="2" t="inlineStr">
        <is>
          <t>Post Oak</t>
        </is>
      </c>
      <c r="E5" s="2" t="inlineStr">
        <is>
          <t>Beth Alvarez</t>
        </is>
      </c>
      <c r="F5" s="2" t="inlineStr">
        <is>
          <t>beth.a@email.com</t>
        </is>
      </c>
      <c r="G5" s="2" t="inlineStr">
        <is>
          <t>(713) 555-0177</t>
        </is>
      </c>
      <c r="H5" s="2" t="inlineStr"/>
      <c r="I5" s="2" t="inlineStr"/>
      <c r="J5" s="2" t="inlineStr">
        <is>
          <t>Moving or Relocating</t>
        </is>
      </c>
      <c r="K5" s="2" t="inlineStr">
        <is>
          <t>Great</t>
        </is>
      </c>
      <c r="L5" s="2" t="inlineStr">
        <is>
          <t>Great</t>
        </is>
      </c>
      <c r="M5" s="2" t="inlineStr">
        <is>
          <t>Great</t>
        </is>
      </c>
      <c r="N5" s="2" t="inlineStr">
        <is>
          <t>Great</t>
        </is>
      </c>
      <c r="O5" s="2" t="inlineStr">
        <is>
          <t>Great</t>
        </is>
      </c>
      <c r="P5" s="2" t="n">
        <v>4</v>
      </c>
      <c r="Q5" s="2" t="inlineStr">
        <is>
          <t>Moving to Dallas. Wish you had a studio there — best workout I've found.</t>
        </is>
      </c>
      <c r="R5" s="2" t="inlineStr">
        <is>
          <t>Beth Alvarez</t>
        </is>
      </c>
      <c r="S5" s="2" t="inlineStr">
        <is>
          <t>Yes</t>
        </is>
      </c>
    </row>
  </sheetData>
  <autoFilter ref="A1:S1"/>
  <conditionalFormatting sqref="K2:K1000">
    <cfRule type="cellIs" priority="1" operator="equal" dxfId="0">
      <formula>"Great"</formula>
    </cfRule>
    <cfRule type="cellIs" priority="2" operator="equal" dxfId="0">
      <formula>"Good"</formula>
    </cfRule>
    <cfRule type="cellIs" priority="3" operator="equal" dxfId="1">
      <formula>"Fair"</formula>
    </cfRule>
    <cfRule type="cellIs" priority="4" operator="equal" dxfId="2">
      <formula>"Poor"</formula>
    </cfRule>
    <cfRule type="cellIs" priority="5" operator="equal" dxfId="3">
      <formula>"Unsatisfactory"</formula>
    </cfRule>
  </conditionalFormatting>
  <conditionalFormatting sqref="L2:L1000">
    <cfRule type="cellIs" priority="6" operator="equal" dxfId="0">
      <formula>"Great"</formula>
    </cfRule>
    <cfRule type="cellIs" priority="7" operator="equal" dxfId="0">
      <formula>"Good"</formula>
    </cfRule>
    <cfRule type="cellIs" priority="8" operator="equal" dxfId="1">
      <formula>"Fair"</formula>
    </cfRule>
    <cfRule type="cellIs" priority="9" operator="equal" dxfId="2">
      <formula>"Poor"</formula>
    </cfRule>
    <cfRule type="cellIs" priority="10" operator="equal" dxfId="3">
      <formula>"Unsatisfactory"</formula>
    </cfRule>
  </conditionalFormatting>
  <conditionalFormatting sqref="M2:M1000">
    <cfRule type="cellIs" priority="11" operator="equal" dxfId="0">
      <formula>"Great"</formula>
    </cfRule>
    <cfRule type="cellIs" priority="12" operator="equal" dxfId="0">
      <formula>"Good"</formula>
    </cfRule>
    <cfRule type="cellIs" priority="13" operator="equal" dxfId="1">
      <formula>"Fair"</formula>
    </cfRule>
    <cfRule type="cellIs" priority="14" operator="equal" dxfId="2">
      <formula>"Poor"</formula>
    </cfRule>
    <cfRule type="cellIs" priority="15" operator="equal" dxfId="3">
      <formula>"Unsatisfactory"</formula>
    </cfRule>
  </conditionalFormatting>
  <conditionalFormatting sqref="N2:N1000">
    <cfRule type="cellIs" priority="16" operator="equal" dxfId="0">
      <formula>"Great"</formula>
    </cfRule>
    <cfRule type="cellIs" priority="17" operator="equal" dxfId="0">
      <formula>"Good"</formula>
    </cfRule>
    <cfRule type="cellIs" priority="18" operator="equal" dxfId="1">
      <formula>"Fair"</formula>
    </cfRule>
    <cfRule type="cellIs" priority="19" operator="equal" dxfId="2">
      <formula>"Poor"</formula>
    </cfRule>
    <cfRule type="cellIs" priority="20" operator="equal" dxfId="3">
      <formula>"Unsatisfactory"</formula>
    </cfRule>
  </conditionalFormatting>
  <conditionalFormatting sqref="O2:O1000">
    <cfRule type="cellIs" priority="21" operator="equal" dxfId="0">
      <formula>"Great"</formula>
    </cfRule>
    <cfRule type="cellIs" priority="22" operator="equal" dxfId="0">
      <formula>"Good"</formula>
    </cfRule>
    <cfRule type="cellIs" priority="23" operator="equal" dxfId="1">
      <formula>"Fair"</formula>
    </cfRule>
    <cfRule type="cellIs" priority="24" operator="equal" dxfId="2">
      <formula>"Poor"</formula>
    </cfRule>
    <cfRule type="cellIs" priority="25" operator="equal" dxfId="3">
      <formula>"Unsatisfactory"</formula>
    </cfRule>
  </conditionalFormatting>
  <conditionalFormatting sqref="P2:P1000">
    <cfRule type="colorScale" priority="26">
      <colorScale>
        <cfvo type="num" val="1"/>
        <cfvo type="num" val="5"/>
        <cfvo type="num" val="10"/>
        <color rgb="FFE8B4A2"/>
        <color rgb="FFF3EAD9"/>
        <color rgb="FFCFE0C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</cols>
  <sheetData>
    <row r="1">
      <c r="A1" s="3" t="inlineStr">
        <is>
          <t>Pvolve · Member Retention Dashboard</t>
        </is>
      </c>
    </row>
    <row r="2">
      <c r="A2" s="4" t="inlineStr">
        <is>
          <t>Live figures — update automatically as rows are added to the Submissions tab.</t>
        </is>
      </c>
    </row>
    <row r="4">
      <c r="A4" s="5" t="inlineStr">
        <is>
          <t>VOLUME</t>
        </is>
      </c>
    </row>
    <row r="5">
      <c r="A5" s="6" t="inlineStr">
        <is>
          <t>Total requests</t>
        </is>
      </c>
      <c r="B5" s="7">
        <f>COUNTA(Submissions!A2:A100000)</f>
        <v/>
      </c>
    </row>
    <row r="6">
      <c r="A6" s="6" t="inlineStr">
        <is>
          <t>Freeze requests</t>
        </is>
      </c>
      <c r="B6" s="7">
        <f>COUNTIF(Submissions!B2:B100000,"Freeze")</f>
        <v/>
      </c>
    </row>
    <row r="7">
      <c r="A7" s="6" t="inlineStr">
        <is>
          <t>Cancellation requests</t>
        </is>
      </c>
      <c r="B7" s="7">
        <f>COUNTIF(Submissions!B2:B100000,"Cancellation")</f>
        <v/>
      </c>
    </row>
    <row r="8">
      <c r="A8" s="6" t="inlineStr">
        <is>
          <t>Saves (cancel → froze instead)</t>
        </is>
      </c>
      <c r="B8" s="7">
        <f>COUNTIF(Submissions!C2:C100000,"Yes")</f>
        <v/>
      </c>
    </row>
    <row r="9">
      <c r="A9" s="6" t="inlineStr">
        <is>
          <t>Save rate on cancel attempts</t>
        </is>
      </c>
      <c r="B9" s="8">
        <f>IFERROR(B8/(B7+B8),0)</f>
        <v/>
      </c>
    </row>
    <row r="11">
      <c r="A11" s="5" t="inlineStr">
        <is>
          <t>BY LOCATION</t>
        </is>
      </c>
    </row>
    <row r="12">
      <c r="A12" s="6" t="inlineStr">
        <is>
          <t>Memorial — total</t>
        </is>
      </c>
      <c r="B12" s="7">
        <f>COUNTIF(Submissions!D2:D100000,"Memorial")</f>
        <v/>
      </c>
    </row>
    <row r="13">
      <c r="A13" s="6" t="inlineStr">
        <is>
          <t>Memorial — cancellations</t>
        </is>
      </c>
      <c r="B13" s="7">
        <f>COUNTIFS(Submissions!D2:D100000,"Memorial",Submissions!B2:B100000,"Cancellation")</f>
        <v/>
      </c>
    </row>
    <row r="14">
      <c r="A14" s="6" t="inlineStr">
        <is>
          <t>Post Oak — total</t>
        </is>
      </c>
      <c r="B14" s="7">
        <f>COUNTIF(Submissions!D2:D100000,"Post Oak")</f>
        <v/>
      </c>
    </row>
    <row r="15">
      <c r="A15" s="6" t="inlineStr">
        <is>
          <t>Post Oak — cancellations</t>
        </is>
      </c>
      <c r="B15" s="7">
        <f>COUNTIFS(Submissions!D2:D100000,"Post Oak",Submissions!B2:B100000,"Cancellation")</f>
        <v/>
      </c>
    </row>
    <row r="17">
      <c r="A17" s="5" t="inlineStr">
        <is>
          <t>TOP REASONS  (count of times checked)</t>
        </is>
      </c>
    </row>
    <row r="18">
      <c r="A18" s="6" t="inlineStr">
        <is>
          <t>Moving or Relocating</t>
        </is>
      </c>
      <c r="B18" s="9">
        <f>SUMPRODUCT(--ISNUMBER(SEARCH("Moving or Relocating",Submissions!$J$2:$J$100000)))</f>
        <v/>
      </c>
    </row>
    <row r="19">
      <c r="A19" s="6" t="inlineStr">
        <is>
          <t>No Time to Attend</t>
        </is>
      </c>
      <c r="B19" s="9">
        <f>SUMPRODUCT(--ISNUMBER(SEARCH("No Time to Attend",Submissions!$J$2:$J$100000)))</f>
        <v/>
      </c>
    </row>
    <row r="20">
      <c r="A20" s="6" t="inlineStr">
        <is>
          <t>Financial</t>
        </is>
      </c>
      <c r="B20" s="9">
        <f>SUMPRODUCT(--ISNUMBER(SEARCH("Financial",Submissions!$J$2:$J$100000)))</f>
        <v/>
      </c>
    </row>
    <row r="21">
      <c r="A21" s="6" t="inlineStr">
        <is>
          <t>Medical</t>
        </is>
      </c>
      <c r="B21" s="9">
        <f>SUMPRODUCT(--ISNUMBER(SEARCH("Medical",Submissions!$J$2:$J$100000)))</f>
        <v/>
      </c>
    </row>
    <row r="22">
      <c r="A22" s="6" t="inlineStr">
        <is>
          <t>Seasonal Resident</t>
        </is>
      </c>
      <c r="B22" s="9">
        <f>SUMPRODUCT(--ISNUMBER(SEARCH("Seasonal Resident",Submissions!$J$2:$J$100000)))</f>
        <v/>
      </c>
    </row>
    <row r="23">
      <c r="A23" s="6" t="inlineStr">
        <is>
          <t>Fitness Routine Change</t>
        </is>
      </c>
      <c r="B23" s="9">
        <f>SUMPRODUCT(--ISNUMBER(SEARCH("Fitness Routine Change",Submissions!$J$2:$J$100000)))</f>
        <v/>
      </c>
    </row>
    <row r="24">
      <c r="A24" s="6" t="inlineStr">
        <is>
          <t>Convenient Classes Unavailable</t>
        </is>
      </c>
      <c r="B24" s="9">
        <f>SUMPRODUCT(--ISNUMBER(SEARCH("Convenient Classes Unavailable",Submissions!$J$2:$J$100000)))</f>
        <v/>
      </c>
    </row>
    <row r="25">
      <c r="A25" s="6" t="inlineStr">
        <is>
          <t>Unsatisfied with Facility</t>
        </is>
      </c>
      <c r="B25" s="9">
        <f>SUMPRODUCT(--ISNUMBER(SEARCH("Unsatisfied with Facility",Submissions!$J$2:$J$100000)))</f>
        <v/>
      </c>
    </row>
    <row r="26">
      <c r="A26" s="6" t="inlineStr">
        <is>
          <t>Unsatisfied with Studio Team</t>
        </is>
      </c>
      <c r="B26" s="9">
        <f>SUMPRODUCT(--ISNUMBER(SEARCH("Unsatisfied with Studio Team",Submissions!$J$2:$J$100000)))</f>
        <v/>
      </c>
    </row>
    <row r="27">
      <c r="A27" s="6" t="inlineStr">
        <is>
          <t>Travel</t>
        </is>
      </c>
      <c r="B27" s="9">
        <f>SUMPRODUCT(--ISNUMBER(SEARCH("Travel",Submissions!$J$2:$J$100000)))</f>
        <v/>
      </c>
    </row>
    <row r="28">
      <c r="A28" s="6" t="inlineStr">
        <is>
          <t>Upgrade/Downgrade</t>
        </is>
      </c>
      <c r="B28" s="9">
        <f>SUMPRODUCT(--ISNUMBER(SEARCH("Upgrade/Downgrade",Submissions!$J$2:$J$100000)))</f>
        <v/>
      </c>
    </row>
    <row r="29">
      <c r="A29" s="6" t="inlineStr">
        <is>
          <t>Other</t>
        </is>
      </c>
      <c r="B29" s="9">
        <f>SUMPRODUCT(--ISNUMBER(SEARCH("Other",Submissions!$J$2:$J$100000)))</f>
        <v/>
      </c>
    </row>
    <row r="31">
      <c r="A31" s="5" t="inlineStr">
        <is>
          <t>SERVICE RATINGS  (# rating Poor or Unsatisfactory = trouble spots)</t>
        </is>
      </c>
    </row>
    <row r="32">
      <c r="A32" s="6" t="inlineStr">
        <is>
          <t>Quality of Workout</t>
        </is>
      </c>
      <c r="B32" s="9">
        <f>COUNTIF(Submissions!K2:K100000,"Poor")+COUNTIF(Submissions!K2:K100000,"Unsatisfactory")</f>
        <v/>
      </c>
      <c r="C32" s="10" t="inlineStr">
        <is>
          <t>Poor/Unsat.</t>
        </is>
      </c>
    </row>
    <row r="33">
      <c r="A33" s="6" t="inlineStr">
        <is>
          <t>Front Desk Service</t>
        </is>
      </c>
      <c r="B33" s="9">
        <f>COUNTIF(Submissions!L2:L100000,"Poor")+COUNTIF(Submissions!L2:L100000,"Unsatisfactory")</f>
        <v/>
      </c>
      <c r="C33" s="10" t="inlineStr">
        <is>
          <t>Poor/Unsat.</t>
        </is>
      </c>
    </row>
    <row r="34">
      <c r="A34" s="6" t="inlineStr">
        <is>
          <t>Class Times</t>
        </is>
      </c>
      <c r="B34" s="9">
        <f>COUNTIF(Submissions!M2:M100000,"Poor")+COUNTIF(Submissions!M2:M100000,"Unsatisfactory")</f>
        <v/>
      </c>
      <c r="C34" s="10" t="inlineStr">
        <is>
          <t>Poor/Unsat.</t>
        </is>
      </c>
    </row>
    <row r="35">
      <c r="A35" s="6" t="inlineStr">
        <is>
          <t>Cleanliness</t>
        </is>
      </c>
      <c r="B35" s="9">
        <f>COUNTIF(Submissions!N2:N100000,"Poor")+COUNTIF(Submissions!N2:N100000,"Unsatisfactory")</f>
        <v/>
      </c>
      <c r="C35" s="10" t="inlineStr">
        <is>
          <t>Poor/Unsat.</t>
        </is>
      </c>
    </row>
    <row r="36">
      <c r="A36" s="6" t="inlineStr">
        <is>
          <t>Overall Experience</t>
        </is>
      </c>
      <c r="B36" s="9">
        <f>COUNTIF(Submissions!O2:O100000,"Poor")+COUNTIF(Submissions!O2:O100000,"Unsatisfactory")</f>
        <v/>
      </c>
      <c r="C36" s="10" t="inlineStr">
        <is>
          <t>Poor/Unsat.</t>
        </is>
      </c>
    </row>
    <row r="38">
      <c r="A38" s="5" t="inlineStr">
        <is>
          <t>RETURN LIKELIHOOD</t>
        </is>
      </c>
    </row>
    <row r="39">
      <c r="A39" s="6" t="inlineStr">
        <is>
          <t>Average — all requests</t>
        </is>
      </c>
      <c r="B39" s="7">
        <f>IFERROR(ROUND(AVERAGE(Submissions!P2:P100000),1),0)</f>
        <v/>
      </c>
    </row>
    <row r="40">
      <c r="A40" s="6" t="inlineStr">
        <is>
          <t>Average — cancellations only</t>
        </is>
      </c>
      <c r="B40" s="7">
        <f>IFERROR(ROUND(AVERAGEIF(Submissions!B2:B100000,"Cancellation",Submissions!P2:P100000),1),0)</f>
        <v/>
      </c>
    </row>
  </sheetData>
  <mergeCells count="5">
    <mergeCell ref="A17:D17"/>
    <mergeCell ref="A31:D31"/>
    <mergeCell ref="A4:D4"/>
    <mergeCell ref="A38:D38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1" t="inlineStr">
        <is>
          <t>How this workbook is used</t>
        </is>
      </c>
    </row>
    <row r="3" ht="46" customHeight="1">
      <c r="A3" s="12" t="inlineStr">
        <is>
          <t>Submissions tab</t>
        </is>
      </c>
      <c r="B3" s="13" t="inlineStr">
        <is>
          <t>One row per submitted form. This is where the website automation writes each new freeze or cancellation. Do not rename the column headers — the automation maps to them.</t>
        </is>
      </c>
    </row>
    <row r="4" ht="46" customHeight="1">
      <c r="A4" s="12" t="inlineStr">
        <is>
          <t>Request Type</t>
        </is>
      </c>
      <c r="B4" s="13" t="inlineStr">
        <is>
          <t>'Freeze' or 'Cancellation'. A member who started a cancellation and chose to freeze instead is saved as 'Freeze' with 'Converted From Cancel?' = Yes.</t>
        </is>
      </c>
    </row>
    <row r="5" ht="46" customHeight="1">
      <c r="A5" s="12" t="inlineStr">
        <is>
          <t>Converted From Cancel?</t>
        </is>
      </c>
      <c r="B5" s="13" t="inlineStr">
        <is>
          <t>'Yes' means this was a rescued cancellation — the freeze-instead nudge worked.</t>
        </is>
      </c>
    </row>
    <row r="6" ht="46" customHeight="1">
      <c r="A6" s="12" t="inlineStr">
        <is>
          <t>Reasons (all checked)</t>
        </is>
      </c>
      <c r="B6" s="13" t="inlineStr">
        <is>
          <t>All reasons the member selected, separated by '; '. The Dashboard counts these with a text search, so keep them in one cell.</t>
        </is>
      </c>
    </row>
    <row r="7" ht="46" customHeight="1">
      <c r="A7" s="12" t="inlineStr">
        <is>
          <t>Ratings K–O</t>
        </is>
      </c>
      <c r="B7" s="13" t="inlineStr">
        <is>
          <t>Great / Good / Fair / Poor / Unsatisfactory. Auto-colored — green is good, red flags Poor/Unsatisfactory at a glance.</t>
        </is>
      </c>
    </row>
    <row r="8" ht="46" customHeight="1">
      <c r="A8" s="12" t="inlineStr">
        <is>
          <t>Return Likelihood</t>
        </is>
      </c>
      <c r="B8" s="13" t="inlineStr">
        <is>
          <t>1–10 self-reported. Color scale: red = low, green = high.</t>
        </is>
      </c>
    </row>
    <row r="9" ht="46" customHeight="1">
      <c r="A9" s="12" t="inlineStr">
        <is>
          <t>Dashboard tab</t>
        </is>
      </c>
      <c r="B9" s="13" t="inlineStr">
        <is>
          <t>Updates automatically. Watch the Save Rate, Top Reasons, and which rating category collects the most Poor/Unsatisfactory marks — that's your churn driver.</t>
        </is>
      </c>
    </row>
    <row r="10" ht="46" customHeight="1">
      <c r="A10" s="12" t="inlineStr">
        <is>
          <t>Uploading to Google Sheets</t>
        </is>
      </c>
      <c r="B10" s="13" t="inlineStr">
        <is>
          <t>Open Google Drive → New → File upload → this .xlsx, then open with Google Sheets (or Sheets → File → Import). Formatting and formulas carry over.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2026-07-04T01:56:22Z</dcterms:created>
  <dcterms:modified xsi:type="dcterms:W3CDTF">2026-07-04T01:56:22Z</dcterms:modified>
</cp:coreProperties>
</file>